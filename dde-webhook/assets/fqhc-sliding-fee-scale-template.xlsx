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364" windowHeight="14736" tabRatio="600" firstSheet="0" activeTab="0" autoFilterDateGrouping="1"/>
  </bookViews>
  <sheets>
    <sheet name="FQHC SFS Calculato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$#,##0.00"/>
    <numFmt numFmtId="165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FF1B365D"/>
      <sz val="16"/>
    </font>
    <font>
      <name val="Calibri"/>
      <i val="1"/>
      <color rgb="FF595959"/>
      <sz val="11"/>
    </font>
    <font>
      <name val="Calibri"/>
      <b val="1"/>
      <color rgb="FFFFFFFF"/>
      <sz val="12"/>
    </font>
    <font>
      <name val="Calibri"/>
      <b val="1"/>
      <sz val="11"/>
    </font>
    <font>
      <name val="Calibri"/>
      <b val="1"/>
      <color rgb="FF1B365D"/>
      <sz val="11"/>
    </font>
    <font>
      <name val="Calibri"/>
      <i val="1"/>
      <color rgb="FF595959"/>
      <sz val="9"/>
    </font>
    <font>
      <name val="Calibri"/>
      <b val="1"/>
      <color rgb="FF274E13"/>
      <sz val="11"/>
    </font>
    <font>
      <name val="Calibri"/>
      <i val="1"/>
      <color rgb="FF666666"/>
      <sz val="10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E6F0FA"/>
        <bgColor rgb="FFE6F0FA"/>
      </patternFill>
    </fill>
    <fill>
      <patternFill patternType="solid">
        <fgColor rgb="FFF2F2F2"/>
        <bgColor rgb="FFF2F2F2"/>
      </patternFill>
    </fill>
    <fill>
      <patternFill patternType="solid">
        <fgColor rgb="FFD5E8D4"/>
        <bgColor rgb="FFD5E8D4"/>
      </patternFill>
    </fill>
    <fill>
      <patternFill patternType="solid">
        <fgColor rgb="FF1B365D"/>
      </patternFill>
    </fill>
  </fills>
  <borders count="9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double">
        <color rgb="FF000000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4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164" fontId="0" fillId="0" borderId="2" pivotButton="0" quotePrefix="0" xfId="0"/>
    <xf numFmtId="164" fontId="0" fillId="0" borderId="2" applyAlignment="1" pivotButton="0" quotePrefix="0" xfId="0">
      <alignment horizontal="right" vertical="center"/>
    </xf>
    <xf numFmtId="164" fontId="4" fillId="4" borderId="3" applyAlignment="1" pivotButton="0" quotePrefix="0" xfId="0">
      <alignment horizontal="right" vertical="center"/>
    </xf>
    <xf numFmtId="164" fontId="4" fillId="0" borderId="2" pivotButton="0" quotePrefix="0" xfId="0"/>
    <xf numFmtId="165" fontId="4" fillId="0" borderId="2" pivotButton="0" quotePrefix="0" xfId="0"/>
    <xf numFmtId="0" fontId="3" fillId="2" borderId="0" applyAlignment="1" pivotButton="0" quotePrefix="0" xfId="0">
      <alignment horizontal="left" vertical="center"/>
    </xf>
    <xf numFmtId="0" fontId="0" fillId="0" borderId="0" pivotButton="0" quotePrefix="0" xfId="0"/>
    <xf numFmtId="0" fontId="4" fillId="0" borderId="2" pivotButton="0" quotePrefix="0" xfId="0"/>
    <xf numFmtId="0" fontId="0" fillId="0" borderId="2" pivotButton="0" quotePrefix="0" xfId="0"/>
    <xf numFmtId="0" fontId="6" fillId="0" borderId="0" applyAlignment="1" pivotButton="0" quotePrefix="0" xfId="0">
      <alignment horizontal="left" vertical="center"/>
    </xf>
    <xf numFmtId="0" fontId="4" fillId="0" borderId="3" applyAlignment="1" pivotButton="0" quotePrefix="0" xfId="0">
      <alignment horizontal="right" vertical="center"/>
    </xf>
    <xf numFmtId="0" fontId="0" fillId="0" borderId="3" pivotButton="0" quotePrefix="0" xfId="0"/>
    <xf numFmtId="0" fontId="6" fillId="0" borderId="0" pivotButton="0" quotePrefix="0" xfId="0"/>
    <xf numFmtId="0" fontId="7" fillId="5" borderId="2" applyAlignment="1" pivotButton="0" quotePrefix="0" xfId="0">
      <alignment horizontal="right" vertical="center"/>
    </xf>
    <xf numFmtId="0" fontId="0" fillId="0" borderId="6" pivotButton="0" quotePrefix="0" xfId="0"/>
    <xf numFmtId="0" fontId="0" fillId="0" borderId="7" pivotButton="0" quotePrefix="0" xfId="0"/>
    <xf numFmtId="0" fontId="3" fillId="6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53"/>
  <sheetViews>
    <sheetView tabSelected="1" topLeftCell="B15" workbookViewId="0">
      <selection activeCell="E39" sqref="E39"/>
    </sheetView>
  </sheetViews>
  <sheetFormatPr baseColWidth="8" defaultRowHeight="14.4"/>
  <cols>
    <col width="4" customWidth="1" style="17" min="1" max="1"/>
    <col width="24" customWidth="1" style="17" min="2" max="2"/>
    <col width="26" customWidth="1" style="17" min="3" max="3"/>
    <col width="22" customWidth="1" style="17" min="4" max="5"/>
    <col width="28" customWidth="1" style="17" min="6" max="6"/>
  </cols>
  <sheetData>
    <row r="1" ht="25.05" customHeight="1" s="17">
      <c r="B1" s="1" t="inlineStr">
        <is>
          <t>FQHC SLIDING FEE SCALE APPLICATION TOOL</t>
        </is>
      </c>
    </row>
    <row r="2" ht="18" customHeight="1" s="17">
      <c r="B2" s="2" t="inlineStr">
        <is>
          <t>Automated eligibility draft worksheet based on Federal Poverty Guidelines (FPG)</t>
        </is>
      </c>
    </row>
    <row r="4" ht="22.05" customHeight="1" s="17">
      <c r="B4" s="16" t="inlineStr">
        <is>
          <t>1. APPLICANT (HEAD OF HOUSEHOLD) PROFILE</t>
        </is>
      </c>
    </row>
    <row r="5" ht="19.95" customHeight="1" s="17">
      <c r="B5" s="3" t="inlineStr">
        <is>
          <t>Full Legal Name:</t>
        </is>
      </c>
      <c r="C5" s="4" t="n"/>
      <c r="D5" s="3" t="inlineStr">
        <is>
          <t>Date of Birth:</t>
        </is>
      </c>
      <c r="E5" s="4" t="n"/>
      <c r="F5" s="4" t="n"/>
    </row>
    <row r="6" ht="19.95" customHeight="1" s="17">
      <c r="B6" s="3" t="inlineStr">
        <is>
          <t>Physical Address:</t>
        </is>
      </c>
      <c r="C6" s="4" t="n"/>
      <c r="D6" s="3" t="inlineStr">
        <is>
          <t>Phone Number:</t>
        </is>
      </c>
      <c r="E6" s="4" t="n"/>
      <c r="F6" s="4" t="n"/>
    </row>
    <row r="7" ht="19.95" customHeight="1" s="17">
      <c r="B7" s="3" t="inlineStr">
        <is>
          <t>Preferred Language:</t>
        </is>
      </c>
      <c r="C7" s="4" t="n"/>
      <c r="D7" s="3" t="inlineStr">
        <is>
          <t>Insurance Status:</t>
        </is>
      </c>
      <c r="E7" s="4" t="n"/>
      <c r="F7" s="4" t="n"/>
    </row>
    <row r="9" ht="22.05" customHeight="1" s="17">
      <c r="B9" s="16" t="inlineStr">
        <is>
          <t>2. HOUSEHOLD SIZE TRACKING</t>
        </is>
      </c>
    </row>
    <row r="10" ht="25.05" customHeight="1" s="17">
      <c r="B10" s="5" t="inlineStr">
        <is>
          <t>Line</t>
        </is>
      </c>
      <c r="C10" s="5" t="inlineStr">
        <is>
          <t>Full Name / Dependent Details</t>
        </is>
      </c>
      <c r="D10" s="5" t="inlineStr">
        <is>
          <t>Date of Birth</t>
        </is>
      </c>
      <c r="E10" s="5" t="inlineStr">
        <is>
          <t>Relationship to Applicant</t>
        </is>
      </c>
      <c r="F10" s="5" t="inlineStr">
        <is>
          <t>Applies to Count? (1 = Yes, 0 = No)</t>
        </is>
      </c>
    </row>
    <row r="11" ht="19.95" customHeight="1" s="17">
      <c r="B11" s="6" t="n">
        <v>1</v>
      </c>
      <c r="C11" s="19" t="n"/>
      <c r="D11" s="19" t="n"/>
      <c r="E11" s="18" t="inlineStr">
        <is>
          <t>Self (Head of Household)</t>
        </is>
      </c>
      <c r="F11" s="9" t="n"/>
    </row>
    <row r="12" ht="19.95" customHeight="1" s="17">
      <c r="B12" s="6" t="n">
        <v>2</v>
      </c>
      <c r="C12" s="19" t="n"/>
      <c r="D12" s="19" t="n"/>
      <c r="E12" s="18" t="inlineStr">
        <is>
          <t>Spouse/Partner</t>
        </is>
      </c>
      <c r="F12" s="9" t="n"/>
    </row>
    <row r="13" ht="19.95" customHeight="1" s="17">
      <c r="B13" s="6" t="n">
        <v>3</v>
      </c>
      <c r="C13" s="19" t="n"/>
      <c r="D13" s="19" t="n"/>
      <c r="E13" s="18" t="inlineStr">
        <is>
          <t>Dependent Child</t>
        </is>
      </c>
      <c r="F13" s="9" t="n"/>
    </row>
    <row r="14" ht="19.95" customHeight="1" s="17">
      <c r="B14" s="6" t="n">
        <v>4</v>
      </c>
      <c r="C14" s="19" t="n"/>
      <c r="D14" s="19" t="n"/>
      <c r="E14" s="18" t="inlineStr">
        <is>
          <t>Dependent Child</t>
        </is>
      </c>
      <c r="F14" s="9" t="n"/>
    </row>
    <row r="15" ht="19.95" customHeight="1" s="17">
      <c r="B15" s="6" t="n">
        <v>5</v>
      </c>
      <c r="C15" s="19" t="n"/>
      <c r="D15" s="19" t="n"/>
      <c r="E15" s="18" t="inlineStr">
        <is>
          <t>Other Legal Dependent</t>
        </is>
      </c>
      <c r="F15" s="9" t="n"/>
    </row>
    <row r="16" ht="22.05" customHeight="1" s="17">
      <c r="B16" s="21" t="inlineStr">
        <is>
          <t>Total Household Size (Calculated):</t>
        </is>
      </c>
      <c r="C16" s="22" t="n"/>
      <c r="D16" s="22" t="n"/>
      <c r="E16" s="22" t="n"/>
      <c r="F16" s="10">
        <f>SUM(F11:F15)</f>
        <v/>
      </c>
    </row>
    <row r="18" ht="22.05" customHeight="1" s="17">
      <c r="B18" s="16" t="inlineStr">
        <is>
          <t>3. HOUSEHOLD REVENUE &amp; GROSS INCOME CALCULATION</t>
        </is>
      </c>
    </row>
    <row r="19" ht="25.05" customHeight="1" s="17">
      <c r="B19" s="5" t="inlineStr">
        <is>
          <t>Working Member Name</t>
        </is>
      </c>
      <c r="C19" s="5" t="inlineStr">
        <is>
          <t>Income Source / Type</t>
        </is>
      </c>
      <c r="D19" s="5" t="inlineStr">
        <is>
          <t>Raw Gross Amount ($)</t>
        </is>
      </c>
      <c r="E19" s="5" t="inlineStr">
        <is>
          <t>Frequency Check</t>
        </is>
      </c>
      <c r="F19" s="5" t="inlineStr">
        <is>
          <t>Annualized Value (Auto)</t>
        </is>
      </c>
    </row>
    <row r="20">
      <c r="C20" s="20" t="inlineStr">
        <is>
          <t>Frequency terms to enter exactly: Weekly, Bi-Weekly, Monthly, Annual</t>
        </is>
      </c>
    </row>
    <row r="21" ht="19.95" customHeight="1" s="17">
      <c r="B21" s="19" t="inlineStr">
        <is>
          <t>Applicant Primary</t>
        </is>
      </c>
      <c r="C21" s="19" t="inlineStr">
        <is>
          <t>Wages/Salary</t>
        </is>
      </c>
      <c r="D21" s="11" t="n">
        <v>25500</v>
      </c>
      <c r="E21" s="9" t="inlineStr">
        <is>
          <t>Annual</t>
        </is>
      </c>
      <c r="F21" s="12">
        <f>IF(E21="Weekly", D21*52, IF(E21="Bi-Weekly", D21*26, IF(E21="Monthly", D21*12, IF(E21="Annual", D21, 0))))</f>
        <v/>
      </c>
    </row>
    <row r="22" ht="19.95" customHeight="1" s="17">
      <c r="B22" s="19" t="inlineStr">
        <is>
          <t>Spouse/Other</t>
        </is>
      </c>
      <c r="C22" s="19" t="inlineStr">
        <is>
          <t>Part-Time</t>
        </is>
      </c>
      <c r="D22" s="11" t="n">
        <v>5200</v>
      </c>
      <c r="E22" s="9" t="inlineStr">
        <is>
          <t>Annual</t>
        </is>
      </c>
      <c r="F22" s="12">
        <f>IF(E22="Weekly", D22*52, IF(E22="Bi-Weekly", D22*26, IF(E22="Monthly", D22*12, IF(E22="Annual", D22, 0))))</f>
        <v/>
      </c>
    </row>
    <row r="23" ht="19.95" customHeight="1" s="17">
      <c r="B23" s="19" t="inlineStr">
        <is>
          <t>Other Pool</t>
        </is>
      </c>
      <c r="C23" s="19" t="inlineStr">
        <is>
          <t>Social Security / Food Stems</t>
        </is>
      </c>
      <c r="D23" s="11" t="n">
        <v>0</v>
      </c>
      <c r="E23" s="9" t="inlineStr">
        <is>
          <t>Monthly</t>
        </is>
      </c>
      <c r="F23" s="12">
        <f>IF(E23="Weekly", D23*52, IF(E23="Bi-Weekly", D23*26, IF(E23="Monthly", D23*12, IF(E23="Annual", D23, 0))))</f>
        <v/>
      </c>
    </row>
    <row r="24" ht="22.05" customHeight="1" s="17">
      <c r="B24" s="21" t="inlineStr">
        <is>
          <t>Estimated Combined Annual Gross Income:</t>
        </is>
      </c>
      <c r="C24" s="22" t="n"/>
      <c r="D24" s="22" t="n"/>
      <c r="E24" s="22" t="n"/>
      <c r="F24" s="13">
        <f>SUM(F21:F23)</f>
        <v/>
      </c>
    </row>
    <row r="26" ht="22.05" customHeight="1" s="17">
      <c r="B26" s="16" t="inlineStr">
        <is>
          <t>4. ELIGIBILITY MATRIX &amp; BACKEND GUIDELINES (2026 REF)</t>
        </is>
      </c>
    </row>
    <row r="27">
      <c r="B27" s="23" t="inlineStr">
        <is>
          <t>The grid below matches household sizes against current federal baselines ($15,060 baseline + $5,380 per add'l member).</t>
        </is>
      </c>
    </row>
    <row r="28" ht="25.05" customHeight="1" s="17">
      <c r="B28" s="5" t="inlineStr">
        <is>
          <t>Household Size Ref</t>
        </is>
      </c>
      <c r="C28" s="5" t="inlineStr">
        <is>
          <t>100% FPG Base</t>
        </is>
      </c>
      <c r="D28" s="5" t="inlineStr">
        <is>
          <t>133% FPG (Band B)</t>
        </is>
      </c>
      <c r="E28" s="5" t="inlineStr">
        <is>
          <t>166% FPG (Band C)</t>
        </is>
      </c>
      <c r="F28" s="5" t="inlineStr">
        <is>
          <t>200% FPG (Band D)</t>
        </is>
      </c>
    </row>
    <row r="29" ht="19.95" customHeight="1" s="17">
      <c r="B29" s="9" t="n">
        <v>1</v>
      </c>
      <c r="C29" s="12" t="n">
        <v>15060</v>
      </c>
      <c r="D29" s="12" t="n">
        <v>20029.8</v>
      </c>
      <c r="E29" s="12" t="n">
        <v>24999.6</v>
      </c>
      <c r="F29" s="12" t="n">
        <v>30120</v>
      </c>
    </row>
    <row r="30" ht="19.95" customHeight="1" s="17">
      <c r="B30" s="9" t="n">
        <v>2</v>
      </c>
      <c r="C30" s="12" t="n">
        <v>20440</v>
      </c>
      <c r="D30" s="12" t="n">
        <v>27185.2</v>
      </c>
      <c r="E30" s="12" t="n">
        <v>33930.4</v>
      </c>
      <c r="F30" s="12" t="n">
        <v>40880</v>
      </c>
    </row>
    <row r="31" ht="19.95" customHeight="1" s="17">
      <c r="B31" s="9" t="n">
        <v>3</v>
      </c>
      <c r="C31" s="12" t="n">
        <v>25820</v>
      </c>
      <c r="D31" s="12" t="n">
        <v>34340.6</v>
      </c>
      <c r="E31" s="12" t="n">
        <v>42861.2</v>
      </c>
      <c r="F31" s="12" t="n">
        <v>51640</v>
      </c>
    </row>
    <row r="32" ht="19.95" customHeight="1" s="17">
      <c r="B32" s="9" t="n">
        <v>4</v>
      </c>
      <c r="C32" s="12" t="n">
        <v>31200</v>
      </c>
      <c r="D32" s="12" t="n">
        <v>41496</v>
      </c>
      <c r="E32" s="12" t="n">
        <v>51792</v>
      </c>
      <c r="F32" s="12" t="n">
        <v>62400</v>
      </c>
    </row>
    <row r="33" ht="19.95" customHeight="1" s="17">
      <c r="B33" s="9" t="n">
        <v>5</v>
      </c>
      <c r="C33" s="12" t="n">
        <v>36580</v>
      </c>
      <c r="D33" s="12" t="n">
        <v>48651.4</v>
      </c>
      <c r="E33" s="12" t="n">
        <v>60722.8</v>
      </c>
      <c r="F33" s="12" t="n">
        <v>73160</v>
      </c>
    </row>
    <row r="35" ht="22.05" customHeight="1" s="17">
      <c r="B35" s="16" t="inlineStr">
        <is>
          <t>5. AUTOMATED ELIGIBILITY DASHBOARD</t>
        </is>
      </c>
    </row>
    <row r="36" ht="22.05" customHeight="1" s="17">
      <c r="B36" s="18" t="inlineStr">
        <is>
          <t>Determined Federal Poverty Threshold for your Size:</t>
        </is>
      </c>
      <c r="C36" s="25" t="n"/>
      <c r="D36" s="26" t="n"/>
      <c r="E36" s="14">
        <f>VLOOKUP(F16, B29:F33, 2, FALSE)</f>
        <v/>
      </c>
      <c r="F36" s="19" t="n"/>
    </row>
    <row r="37" ht="22.05" customHeight="1" s="17">
      <c r="B37" s="18" t="inlineStr">
        <is>
          <t>Calculated FPL Ratio Percentage:</t>
        </is>
      </c>
      <c r="C37" s="25" t="n"/>
      <c r="D37" s="26" t="n"/>
      <c r="E37" s="15">
        <f>F24/E36</f>
        <v/>
      </c>
      <c r="F37" s="19" t="n"/>
    </row>
    <row r="38" ht="22.05" customHeight="1" s="17">
      <c r="B38" s="18" t="inlineStr">
        <is>
          <t>Suggested Sliding Fee Scale Bracket Status:</t>
        </is>
      </c>
      <c r="C38" s="25" t="n"/>
      <c r="D38" s="26" t="n"/>
      <c r="E38" s="24">
        <f>IF(E37&lt;=1, "Tier A ($0 Visit)", IF(E37&lt;=1.33, "Tier B ($5 Visit)", IF(E37&lt;=1.66, "Tier C ($10 Visit)", IF(E37&lt;=2, "Tier D ($20 Visit)", "Full Fee"))))</f>
        <v/>
      </c>
      <c r="F38" s="19" t="n"/>
    </row>
    <row r="40" ht="22.05" customHeight="1" s="17">
      <c r="B40" s="27" t="inlineStr">
        <is>
          <t>1B. ADDITIONAL APPLICANT DETAILS (FROM VOICE-TO-FORM INTAKE)</t>
        </is>
      </c>
    </row>
    <row r="41" ht="28" customHeight="1" s="17">
      <c r="B41" s="28" t="inlineStr">
        <is>
          <t>The fields below are captured directly from the patient's FQHC Intake form (Dragon Copilot Voice-to-Form) and exported by Doctor Robbie -- they are not linked to the Household Size Tracking or eligibility calculations above.</t>
        </is>
      </c>
    </row>
    <row r="42" ht="19.95" customHeight="1" s="17">
      <c r="B42" s="3" t="inlineStr">
        <is>
          <t>Home Phone:</t>
        </is>
      </c>
      <c r="F42" s="29" t="n"/>
    </row>
    <row r="43" ht="19.95" customHeight="1" s="17">
      <c r="B43" s="3" t="inlineStr">
        <is>
          <t>Cell Phone:</t>
        </is>
      </c>
      <c r="F43" s="29" t="n"/>
    </row>
    <row r="44" ht="19.95" customHeight="1" s="17">
      <c r="B44" s="3" t="inlineStr">
        <is>
          <t>Marital Status:</t>
        </is>
      </c>
      <c r="F44" s="29" t="n"/>
    </row>
    <row r="45" ht="19.95" customHeight="1" s="17">
      <c r="B45" s="3" t="inlineStr">
        <is>
          <t>Family Size:</t>
        </is>
      </c>
      <c r="F45" s="29" t="n"/>
    </row>
    <row r="46" ht="19.95" customHeight="1" s="17">
      <c r="B46" s="3" t="inlineStr">
        <is>
          <t>Spouse/Partner Employed:</t>
        </is>
      </c>
      <c r="F46" s="29" t="n"/>
    </row>
    <row r="47" ht="19.95" customHeight="1" s="17">
      <c r="B47" s="3" t="inlineStr">
        <is>
          <t>Other Household Members Employed:</t>
        </is>
      </c>
      <c r="F47" s="29" t="n"/>
    </row>
    <row r="48" ht="19.95" customHeight="1" s="17">
      <c r="B48" s="3" t="inlineStr">
        <is>
          <t>Covered/Eligible for Health Insurance:</t>
        </is>
      </c>
      <c r="F48" s="29" t="n"/>
    </row>
    <row r="49" ht="19.95" customHeight="1" s="17">
      <c r="B49" s="3" t="inlineStr">
        <is>
          <t>Policy Holder:</t>
        </is>
      </c>
      <c r="F49" s="29" t="n"/>
    </row>
    <row r="50" ht="19.95" customHeight="1" s="17">
      <c r="B50" s="3" t="inlineStr">
        <is>
          <t>Policy Number:</t>
        </is>
      </c>
      <c r="F50" s="29" t="n"/>
    </row>
    <row r="51" ht="19.95" customHeight="1" s="17">
      <c r="B51" s="3" t="inlineStr">
        <is>
          <t>Insurer:</t>
        </is>
      </c>
      <c r="F51" s="29" t="n"/>
    </row>
    <row r="52" ht="19.95" customHeight="1" s="17">
      <c r="B52" s="3" t="inlineStr">
        <is>
          <t>Employed:</t>
        </is>
      </c>
      <c r="F52" s="29" t="n"/>
    </row>
    <row r="53" ht="19.95" customHeight="1" s="17">
      <c r="B53" s="3" t="inlineStr">
        <is>
          <t>Former Spouse/Partner Financially Responsible:</t>
        </is>
      </c>
      <c r="F53" s="29" t="n"/>
    </row>
  </sheetData>
  <mergeCells count="26">
    <mergeCell ref="B4:F4"/>
    <mergeCell ref="B49:E49"/>
    <mergeCell ref="B24:E24"/>
    <mergeCell ref="B51:E51"/>
    <mergeCell ref="B18:F18"/>
    <mergeCell ref="B38:D38"/>
    <mergeCell ref="B27:F27"/>
    <mergeCell ref="B45:E45"/>
    <mergeCell ref="B37:D37"/>
    <mergeCell ref="B50:E50"/>
    <mergeCell ref="B16:E16"/>
    <mergeCell ref="B47:E47"/>
    <mergeCell ref="B46:E46"/>
    <mergeCell ref="B36:D36"/>
    <mergeCell ref="B43:E43"/>
    <mergeCell ref="C20:F20"/>
    <mergeCell ref="B52:E52"/>
    <mergeCell ref="B48:E48"/>
    <mergeCell ref="B42:E42"/>
    <mergeCell ref="B40:F40"/>
    <mergeCell ref="B9:F9"/>
    <mergeCell ref="B53:E53"/>
    <mergeCell ref="B44:E44"/>
    <mergeCell ref="B26:F26"/>
    <mergeCell ref="B41:F41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2026-09-17T20:14:01Z</dcterms:created>
  <dcterms:modified xsi:type="dcterms:W3CDTF">2026-09-29T20:35:04Z</dcterms:modified>
  <cp:lastModifiedBy>Craig Wilkins</cp:lastModifiedBy>
</cp:coreProperties>
</file>